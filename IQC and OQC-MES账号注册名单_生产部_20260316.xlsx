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Mac\Home\Downloads\0312\"/>
    </mc:Choice>
  </mc:AlternateContent>
  <bookViews>
    <workbookView xWindow="-120" yWindow="-120" windowWidth="29040" windowHeight="15840"/>
  </bookViews>
  <sheets>
    <sheet name="20250912_Round 1" sheetId="1" r:id="rId1"/>
  </sheets>
  <definedNames>
    <definedName name="_xlnm._FilterDatabase" localSheetId="0" hidden="1">'20250912_Round 1'!$A$6:$P$14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B18" i="1" l="1"/>
  <c r="B19" i="1"/>
  <c r="B20" i="1"/>
  <c r="B16" i="1"/>
  <c r="B17" i="1"/>
  <c r="B15" i="1"/>
  <c r="K3" i="1" l="1"/>
  <c r="L3" i="1"/>
  <c r="M3" i="1"/>
  <c r="N3" i="1"/>
  <c r="O3" i="1"/>
  <c r="I3" i="1"/>
  <c r="B10" i="1" l="1"/>
  <c r="B11" i="1"/>
  <c r="B12" i="1"/>
  <c r="B13" i="1"/>
  <c r="B14" i="1"/>
  <c r="B7" i="1"/>
  <c r="B8" i="1"/>
  <c r="B9" i="1"/>
  <c r="P3" i="1" l="1"/>
</calcChain>
</file>

<file path=xl/sharedStrings.xml><?xml version="1.0" encoding="utf-8"?>
<sst xmlns="http://schemas.openxmlformats.org/spreadsheetml/2006/main" count="111" uniqueCount="75">
  <si>
    <t>Update: 2025/09/12</t>
  </si>
  <si>
    <t>W</t>
  </si>
  <si>
    <t>序号</t>
  </si>
  <si>
    <t>员工编号</t>
  </si>
  <si>
    <t>姓名</t>
  </si>
  <si>
    <t>工站（PA代码）</t>
  </si>
  <si>
    <t>职位</t>
  </si>
  <si>
    <t>备注</t>
  </si>
  <si>
    <t>LL</t>
  </si>
  <si>
    <t>KTC</t>
  </si>
  <si>
    <t xml:space="preserve">VÕ VĂN </t>
  </si>
  <si>
    <t>SLL</t>
  </si>
  <si>
    <t>QUÝ</t>
  </si>
  <si>
    <t>SL</t>
  </si>
  <si>
    <t>班组</t>
  </si>
  <si>
    <t xml:space="preserve">NGUYỄN VĂN </t>
  </si>
  <si>
    <t>DUNG</t>
  </si>
  <si>
    <t>FOL</t>
  </si>
  <si>
    <t>EOL</t>
  </si>
  <si>
    <t>TEST</t>
  </si>
  <si>
    <t>INQC</t>
  </si>
  <si>
    <t>OQC</t>
  </si>
  <si>
    <t>VI &amp; Packing</t>
  </si>
  <si>
    <t>班组长</t>
  </si>
  <si>
    <t xml:space="preserve">NGUYỄN MINH </t>
  </si>
  <si>
    <t>Total</t>
  </si>
  <si>
    <t>V3804153</t>
  </si>
  <si>
    <t xml:space="preserve">NGÔ THỊ </t>
  </si>
  <si>
    <t>HCA</t>
  </si>
  <si>
    <t>V3809162</t>
  </si>
  <si>
    <t>V3871246</t>
  </si>
  <si>
    <t xml:space="preserve">ĐẶNG NHƯ </t>
  </si>
  <si>
    <t>Ý</t>
  </si>
  <si>
    <t>V3871388</t>
  </si>
  <si>
    <t>GIÀU</t>
  </si>
  <si>
    <t>V3801344</t>
  </si>
  <si>
    <t xml:space="preserve">DIỆP VĂN </t>
  </si>
  <si>
    <t>DIỄN</t>
  </si>
  <si>
    <t>V3872109</t>
  </si>
  <si>
    <t xml:space="preserve">NGUYỄN VŨ </t>
  </si>
  <si>
    <t>LUÂN</t>
  </si>
  <si>
    <t>V3801414</t>
  </si>
  <si>
    <t>CHÁNH</t>
  </si>
  <si>
    <t>V3803523</t>
  </si>
  <si>
    <t xml:space="preserve">LÊ THỊ THÚY </t>
  </si>
  <si>
    <t>NGÂN</t>
  </si>
  <si>
    <t>STF</t>
  </si>
  <si>
    <t>MES账号注册名单</t>
  </si>
  <si>
    <t>流程</t>
  </si>
  <si>
    <t>IP: 172.16.23.120</t>
    <phoneticPr fontId="4"/>
  </si>
  <si>
    <t>V3844181</t>
  </si>
  <si>
    <t>V3802920</t>
  </si>
  <si>
    <t>V3803174</t>
  </si>
  <si>
    <t xml:space="preserve">VÕ THỊ BÍCH </t>
    <phoneticPr fontId="4"/>
  </si>
  <si>
    <t>NGỌC</t>
    <phoneticPr fontId="4"/>
  </si>
  <si>
    <t xml:space="preserve">VÕ THỊ CÁT </t>
    <phoneticPr fontId="4"/>
  </si>
  <si>
    <t>THẢO</t>
    <phoneticPr fontId="4"/>
  </si>
  <si>
    <t xml:space="preserve">NGUYỄN THỊ </t>
    <phoneticPr fontId="4"/>
  </si>
  <si>
    <t>XUYẾN</t>
    <phoneticPr fontId="4"/>
  </si>
  <si>
    <t>OQC</t>
    <phoneticPr fontId="4"/>
  </si>
  <si>
    <t>Start</t>
    <phoneticPr fontId="4"/>
  </si>
  <si>
    <t>SL</t>
    <phoneticPr fontId="4"/>
  </si>
  <si>
    <t>KTC</t>
    <phoneticPr fontId="4"/>
  </si>
  <si>
    <t>3,6,7</t>
    <phoneticPr fontId="4"/>
  </si>
  <si>
    <t>CleanRoom</t>
    <phoneticPr fontId="4"/>
  </si>
  <si>
    <t>V3800158</t>
  </si>
  <si>
    <t>V3802522</t>
  </si>
  <si>
    <t>V3870552</t>
  </si>
  <si>
    <t>PHƯƠNG</t>
    <phoneticPr fontId="4"/>
  </si>
  <si>
    <t>VÂN</t>
    <phoneticPr fontId="4"/>
  </si>
  <si>
    <t>NHÍ</t>
    <phoneticPr fontId="4"/>
  </si>
  <si>
    <t>LÊ VĂN</t>
    <phoneticPr fontId="4"/>
  </si>
  <si>
    <t>LÊ THỊ BÍCH</t>
    <phoneticPr fontId="4"/>
  </si>
  <si>
    <t>DƯƠNG BÉ</t>
    <phoneticPr fontId="4"/>
  </si>
  <si>
    <t>LL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</si>
</sst>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rial"/>
      <family val="2"/>
    </font>
    <font>
      <sz val="11"/>
      <color theme="0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2" xfId="0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6">
    <dxf>
      <font>
        <color rgb="FFC00000"/>
      </font>
    </dxf>
    <dxf>
      <font>
        <color rgb="FF0070C0"/>
      </font>
    </dxf>
    <dxf>
      <font>
        <color rgb="FFFFC000"/>
      </font>
    </dxf>
    <dxf>
      <font>
        <color rgb="FFC00000"/>
      </font>
    </dxf>
    <dxf>
      <font>
        <color rgb="FF0070C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showGridLines="0" tabSelected="1" zoomScale="85" zoomScaleNormal="85" workbookViewId="0">
      <pane ySplit="6" topLeftCell="A7" activePane="bottomLeft" state="frozen"/>
      <selection pane="bottomLeft" activeCell="J4" sqref="J4"/>
    </sheetView>
  </sheetViews>
  <sheetFormatPr defaultColWidth="8.625" defaultRowHeight="13.5"/>
  <cols>
    <col min="1" max="1" width="1.875" style="2" customWidth="1"/>
    <col min="2" max="2" width="5.875" style="2" customWidth="1"/>
    <col min="3" max="3" width="11.5" style="2" customWidth="1"/>
    <col min="4" max="4" width="16.75" style="2" customWidth="1"/>
    <col min="5" max="5" width="10" style="2" customWidth="1"/>
    <col min="6" max="7" width="9.125" style="2" customWidth="1"/>
    <col min="8" max="8" width="21.125" style="2" customWidth="1"/>
    <col min="9" max="11" width="10.375" style="2" customWidth="1"/>
    <col min="12" max="16384" width="8.625" style="2"/>
  </cols>
  <sheetData>
    <row r="1" spans="2:16" ht="5.0999999999999996" customHeight="1"/>
    <row r="2" spans="2:16" ht="11.45" customHeight="1">
      <c r="I2" s="1" t="s">
        <v>20</v>
      </c>
      <c r="J2" s="1" t="s">
        <v>21</v>
      </c>
      <c r="K2" s="1" t="s">
        <v>17</v>
      </c>
      <c r="L2" s="1" t="s">
        <v>18</v>
      </c>
      <c r="M2" s="1" t="s">
        <v>19</v>
      </c>
      <c r="N2" s="1" t="s">
        <v>22</v>
      </c>
      <c r="O2" s="1" t="s">
        <v>23</v>
      </c>
      <c r="P2" s="10" t="s">
        <v>25</v>
      </c>
    </row>
    <row r="3" spans="2:16" ht="22.5">
      <c r="B3" s="3" t="s">
        <v>47</v>
      </c>
      <c r="C3" s="3"/>
      <c r="D3" s="3"/>
      <c r="E3" s="3"/>
      <c r="F3" s="3"/>
      <c r="G3" s="3"/>
      <c r="I3" s="4">
        <f t="shared" ref="I3:O3" si="0">COUNTIF($G$6:$G$14,I$2)</f>
        <v>8</v>
      </c>
      <c r="J3" s="4">
        <f>COUNTIF($G$15:$G$20,J$2)</f>
        <v>6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11">
        <f>SUM(I3:O3)</f>
        <v>14</v>
      </c>
    </row>
    <row r="4" spans="2:16" ht="9" customHeight="1">
      <c r="B4" s="3"/>
      <c r="C4" s="3"/>
      <c r="D4" s="3"/>
      <c r="E4" s="3"/>
      <c r="F4" s="3"/>
      <c r="G4" s="3"/>
    </row>
    <row r="5" spans="2:16">
      <c r="B5" s="2" t="s">
        <v>0</v>
      </c>
    </row>
    <row r="6" spans="2:16" ht="20.45" customHeight="1">
      <c r="B6" s="5" t="s">
        <v>2</v>
      </c>
      <c r="C6" s="5" t="s">
        <v>3</v>
      </c>
      <c r="D6" s="6" t="s">
        <v>4</v>
      </c>
      <c r="E6" s="6"/>
      <c r="F6" s="6" t="s">
        <v>14</v>
      </c>
      <c r="G6" s="6" t="s">
        <v>48</v>
      </c>
      <c r="H6" s="5" t="s">
        <v>5</v>
      </c>
      <c r="I6" s="5" t="s">
        <v>6</v>
      </c>
      <c r="J6" s="5" t="s">
        <v>64</v>
      </c>
      <c r="K6" s="5" t="s">
        <v>7</v>
      </c>
    </row>
    <row r="7" spans="2:16">
      <c r="B7" s="7">
        <f>SUBTOTAL(3,$C$7:C7)</f>
        <v>1</v>
      </c>
      <c r="C7" s="9" t="s">
        <v>26</v>
      </c>
      <c r="D7" s="9" t="s">
        <v>27</v>
      </c>
      <c r="E7" s="9" t="s">
        <v>16</v>
      </c>
      <c r="F7" s="7" t="s">
        <v>28</v>
      </c>
      <c r="G7" s="7" t="s">
        <v>20</v>
      </c>
      <c r="H7" s="8" t="s">
        <v>20</v>
      </c>
      <c r="I7" s="7" t="s">
        <v>11</v>
      </c>
      <c r="J7" s="7">
        <v>10</v>
      </c>
      <c r="K7" s="8"/>
    </row>
    <row r="8" spans="2:16">
      <c r="B8" s="7">
        <f>SUBTOTAL(3,$C$7:C8)</f>
        <v>2</v>
      </c>
      <c r="C8" s="9" t="s">
        <v>29</v>
      </c>
      <c r="D8" s="9" t="s">
        <v>10</v>
      </c>
      <c r="E8" s="9" t="s">
        <v>12</v>
      </c>
      <c r="F8" s="7">
        <v>1</v>
      </c>
      <c r="G8" s="7" t="s">
        <v>20</v>
      </c>
      <c r="H8" s="8" t="s">
        <v>20</v>
      </c>
      <c r="I8" s="7" t="s">
        <v>13</v>
      </c>
      <c r="J8" s="7">
        <v>10</v>
      </c>
      <c r="K8" s="8"/>
    </row>
    <row r="9" spans="2:16">
      <c r="B9" s="7">
        <f>SUBTOTAL(3,$C$7:C9)</f>
        <v>3</v>
      </c>
      <c r="C9" s="9" t="s">
        <v>30</v>
      </c>
      <c r="D9" s="9" t="s">
        <v>31</v>
      </c>
      <c r="E9" s="9" t="s">
        <v>32</v>
      </c>
      <c r="F9" s="7">
        <v>1</v>
      </c>
      <c r="G9" s="7" t="s">
        <v>20</v>
      </c>
      <c r="H9" s="8" t="s">
        <v>20</v>
      </c>
      <c r="I9" s="7" t="s">
        <v>1</v>
      </c>
      <c r="J9" s="7">
        <v>10</v>
      </c>
      <c r="K9" s="8"/>
    </row>
    <row r="10" spans="2:16">
      <c r="B10" s="7">
        <f>SUBTOTAL(3,$C$7:C10)</f>
        <v>4</v>
      </c>
      <c r="C10" s="9" t="s">
        <v>33</v>
      </c>
      <c r="D10" s="9" t="s">
        <v>24</v>
      </c>
      <c r="E10" s="9" t="s">
        <v>34</v>
      </c>
      <c r="F10" s="7">
        <v>1</v>
      </c>
      <c r="G10" s="7" t="s">
        <v>20</v>
      </c>
      <c r="H10" s="8" t="s">
        <v>20</v>
      </c>
      <c r="I10" s="7" t="s">
        <v>46</v>
      </c>
      <c r="J10" s="7">
        <v>10</v>
      </c>
      <c r="K10" s="8"/>
    </row>
    <row r="11" spans="2:16">
      <c r="B11" s="7">
        <f>SUBTOTAL(3,$C$7:C11)</f>
        <v>5</v>
      </c>
      <c r="C11" s="9" t="s">
        <v>35</v>
      </c>
      <c r="D11" s="9" t="s">
        <v>36</v>
      </c>
      <c r="E11" s="9" t="s">
        <v>37</v>
      </c>
      <c r="F11" s="7">
        <v>2</v>
      </c>
      <c r="G11" s="7" t="s">
        <v>20</v>
      </c>
      <c r="H11" s="8" t="s">
        <v>20</v>
      </c>
      <c r="I11" s="7" t="s">
        <v>13</v>
      </c>
      <c r="J11" s="7">
        <v>10</v>
      </c>
      <c r="K11" s="8"/>
    </row>
    <row r="12" spans="2:16">
      <c r="B12" s="7">
        <f>SUBTOTAL(3,$C$7:C12)</f>
        <v>6</v>
      </c>
      <c r="C12" s="9" t="s">
        <v>38</v>
      </c>
      <c r="D12" s="9" t="s">
        <v>39</v>
      </c>
      <c r="E12" s="9" t="s">
        <v>40</v>
      </c>
      <c r="F12" s="7">
        <v>2</v>
      </c>
      <c r="G12" s="7" t="s">
        <v>20</v>
      </c>
      <c r="H12" s="8" t="s">
        <v>20</v>
      </c>
      <c r="I12" s="7" t="s">
        <v>1</v>
      </c>
      <c r="J12" s="7">
        <v>10</v>
      </c>
      <c r="K12" s="8"/>
    </row>
    <row r="13" spans="2:16">
      <c r="B13" s="7">
        <f>SUBTOTAL(3,$C$7:C13)</f>
        <v>7</v>
      </c>
      <c r="C13" s="9" t="s">
        <v>41</v>
      </c>
      <c r="D13" s="9" t="s">
        <v>15</v>
      </c>
      <c r="E13" s="9" t="s">
        <v>42</v>
      </c>
      <c r="F13" s="7">
        <v>3</v>
      </c>
      <c r="G13" s="7" t="s">
        <v>20</v>
      </c>
      <c r="H13" s="8" t="s">
        <v>20</v>
      </c>
      <c r="I13" s="7" t="s">
        <v>8</v>
      </c>
      <c r="J13" s="7">
        <v>10</v>
      </c>
      <c r="K13" s="8"/>
    </row>
    <row r="14" spans="2:16">
      <c r="B14" s="7">
        <f>SUBTOTAL(3,$C$7:C14)</f>
        <v>8</v>
      </c>
      <c r="C14" s="9" t="s">
        <v>43</v>
      </c>
      <c r="D14" s="9" t="s">
        <v>44</v>
      </c>
      <c r="E14" s="9" t="s">
        <v>45</v>
      </c>
      <c r="F14" s="7">
        <v>3</v>
      </c>
      <c r="G14" s="7" t="s">
        <v>20</v>
      </c>
      <c r="H14" s="8" t="s">
        <v>20</v>
      </c>
      <c r="I14" s="7" t="s">
        <v>9</v>
      </c>
      <c r="J14" s="7">
        <v>10</v>
      </c>
      <c r="K14" s="8"/>
    </row>
    <row r="15" spans="2:16">
      <c r="B15" s="7">
        <f>SUBTOTAL(3,$C$7:C15)</f>
        <v>9</v>
      </c>
      <c r="C15" s="9" t="s">
        <v>50</v>
      </c>
      <c r="D15" s="9" t="s">
        <v>53</v>
      </c>
      <c r="E15" s="9" t="s">
        <v>54</v>
      </c>
      <c r="F15" s="7">
        <v>1</v>
      </c>
      <c r="G15" s="7" t="s">
        <v>59</v>
      </c>
      <c r="H15" s="8" t="s">
        <v>59</v>
      </c>
      <c r="I15" s="7" t="s">
        <v>60</v>
      </c>
      <c r="J15" s="7" t="s">
        <v>63</v>
      </c>
      <c r="K15" s="8"/>
    </row>
    <row r="16" spans="2:16">
      <c r="B16" s="7">
        <f>SUBTOTAL(3,$C$7:C16)</f>
        <v>10</v>
      </c>
      <c r="C16" s="9" t="s">
        <v>52</v>
      </c>
      <c r="D16" s="9" t="s">
        <v>57</v>
      </c>
      <c r="E16" s="9" t="s">
        <v>58</v>
      </c>
      <c r="F16" s="7">
        <v>2</v>
      </c>
      <c r="G16" s="7" t="s">
        <v>59</v>
      </c>
      <c r="H16" s="8" t="s">
        <v>59</v>
      </c>
      <c r="I16" s="7" t="s">
        <v>62</v>
      </c>
      <c r="J16" s="7" t="s">
        <v>63</v>
      </c>
      <c r="K16" s="8"/>
    </row>
    <row r="17" spans="2:11">
      <c r="B17" s="7">
        <f>SUBTOTAL(3,$C$7:C17)</f>
        <v>11</v>
      </c>
      <c r="C17" s="9" t="s">
        <v>51</v>
      </c>
      <c r="D17" s="9" t="s">
        <v>55</v>
      </c>
      <c r="E17" s="9" t="s">
        <v>56</v>
      </c>
      <c r="F17" s="7">
        <v>2</v>
      </c>
      <c r="G17" s="7" t="s">
        <v>59</v>
      </c>
      <c r="H17" s="8" t="s">
        <v>59</v>
      </c>
      <c r="I17" s="7" t="s">
        <v>61</v>
      </c>
      <c r="J17" s="7" t="s">
        <v>63</v>
      </c>
      <c r="K17" s="8"/>
    </row>
    <row r="18" spans="2:11">
      <c r="B18" s="7">
        <f>SUBTOTAL(3,$C$7:C18)</f>
        <v>12</v>
      </c>
      <c r="C18" s="9" t="s">
        <v>65</v>
      </c>
      <c r="D18" s="9" t="s">
        <v>71</v>
      </c>
      <c r="E18" s="9" t="s">
        <v>68</v>
      </c>
      <c r="F18" s="7">
        <v>1</v>
      </c>
      <c r="G18" s="7" t="s">
        <v>59</v>
      </c>
      <c r="H18" s="8" t="s">
        <v>59</v>
      </c>
      <c r="I18" s="7" t="s">
        <v>74</v>
      </c>
      <c r="J18" s="7" t="s">
        <v>63</v>
      </c>
      <c r="K18" s="8"/>
    </row>
    <row r="19" spans="2:11">
      <c r="B19" s="7">
        <f>SUBTOTAL(3,$C$7:C19)</f>
        <v>13</v>
      </c>
      <c r="C19" s="9" t="s">
        <v>66</v>
      </c>
      <c r="D19" s="9" t="s">
        <v>72</v>
      </c>
      <c r="E19" s="9" t="s">
        <v>69</v>
      </c>
      <c r="F19" s="7">
        <v>2</v>
      </c>
      <c r="G19" s="7" t="s">
        <v>59</v>
      </c>
      <c r="H19" s="8" t="s">
        <v>59</v>
      </c>
      <c r="I19" s="7" t="s">
        <v>62</v>
      </c>
      <c r="J19" s="7" t="s">
        <v>63</v>
      </c>
      <c r="K19" s="8"/>
    </row>
    <row r="20" spans="2:11">
      <c r="B20" s="7">
        <f>SUBTOTAL(3,$C$7:C20)</f>
        <v>14</v>
      </c>
      <c r="C20" s="9" t="s">
        <v>67</v>
      </c>
      <c r="D20" s="9" t="s">
        <v>73</v>
      </c>
      <c r="E20" s="9" t="s">
        <v>70</v>
      </c>
      <c r="F20" s="7">
        <v>1</v>
      </c>
      <c r="G20" s="7" t="s">
        <v>59</v>
      </c>
      <c r="H20" s="8" t="s">
        <v>59</v>
      </c>
      <c r="I20" s="7" t="s">
        <v>62</v>
      </c>
      <c r="J20" s="7" t="s">
        <v>63</v>
      </c>
      <c r="K20" s="8"/>
    </row>
    <row r="21" spans="2:11">
      <c r="B21" s="13"/>
      <c r="C21" s="14"/>
      <c r="D21" s="14"/>
      <c r="E21" s="14"/>
      <c r="F21" s="13"/>
      <c r="G21" s="13"/>
      <c r="H21" s="15"/>
      <c r="I21" s="13"/>
      <c r="J21" s="13"/>
      <c r="K21" s="15"/>
    </row>
    <row r="22" spans="2:11">
      <c r="B22" s="13"/>
      <c r="C22" s="14"/>
      <c r="D22" s="14"/>
      <c r="E22" s="14"/>
      <c r="F22" s="13"/>
      <c r="G22" s="13"/>
      <c r="H22" s="15"/>
      <c r="I22" s="13"/>
      <c r="J22" s="13"/>
      <c r="K22" s="15"/>
    </row>
    <row r="23" spans="2:11">
      <c r="B23" s="13"/>
      <c r="C23" s="14"/>
      <c r="D23" s="14"/>
      <c r="E23" s="14"/>
      <c r="F23" s="13"/>
      <c r="G23" s="13"/>
      <c r="H23" s="15"/>
      <c r="I23" s="13"/>
      <c r="J23" s="13"/>
      <c r="K23" s="15"/>
    </row>
    <row r="24" spans="2:11">
      <c r="B24" s="13"/>
      <c r="C24" s="14"/>
      <c r="D24" s="14"/>
      <c r="E24" s="14"/>
      <c r="F24" s="13"/>
      <c r="G24" s="13"/>
      <c r="H24" s="15"/>
      <c r="I24" s="13"/>
      <c r="J24" s="13"/>
      <c r="K24" s="15"/>
    </row>
    <row r="25" spans="2:11">
      <c r="B25" s="13"/>
      <c r="C25" s="14"/>
      <c r="D25" s="14"/>
      <c r="E25" s="14"/>
      <c r="F25" s="13"/>
      <c r="G25" s="13"/>
      <c r="H25" s="15"/>
      <c r="I25" s="13"/>
      <c r="J25" s="13"/>
      <c r="K25" s="15"/>
    </row>
    <row r="27" spans="2:11">
      <c r="C27" s="12" t="s">
        <v>49</v>
      </c>
      <c r="D27" s="12"/>
    </row>
  </sheetData>
  <phoneticPr fontId="4"/>
  <conditionalFormatting sqref="H15 F6:G15 F21:G25">
    <cfRule type="cellIs" dxfId="5" priority="10" operator="equal">
      <formula>3</formula>
    </cfRule>
    <cfRule type="cellIs" dxfId="4" priority="11" operator="equal">
      <formula>2</formula>
    </cfRule>
    <cfRule type="cellIs" dxfId="3" priority="12" operator="equal">
      <formula>1</formula>
    </cfRule>
  </conditionalFormatting>
  <conditionalFormatting sqref="F16:H20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20250912_Round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Ngoc Hoang</dc:creator>
  <cp:lastModifiedBy>WENDY DELA CRUZ ADALIN</cp:lastModifiedBy>
  <dcterms:created xsi:type="dcterms:W3CDTF">2025-09-12T01:46:02Z</dcterms:created>
  <dcterms:modified xsi:type="dcterms:W3CDTF">2026-03-16T06:55:08Z</dcterms:modified>
</cp:coreProperties>
</file>